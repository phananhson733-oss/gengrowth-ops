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8c6182420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dae82437f46549cf"/>
    <x:sheet xmlns:r="http://schemas.openxmlformats.org/officeDocument/2006/relationships" name="posts" sheetId="2" r:id="R9a6cffc6328d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691056051417b" /><Relationship Type="http://schemas.openxmlformats.org/officeDocument/2006/relationships/theme" Target="/xl/theme/theme1.xml" Id="R5eed5bded27a4749" /><Relationship Type="http://schemas.openxmlformats.org/officeDocument/2006/relationships/sharedStrings" Target="/xl/sharedStrings.xml" Id="R4f9cd486dbb74b09" /><Relationship Type="http://schemas.openxmlformats.org/officeDocument/2006/relationships/worksheet" Target="/xl/worksheets/sheet1.xml" Id="Rdae82437f46549cf" /><Relationship Type="http://schemas.openxmlformats.org/officeDocument/2006/relationships/worksheet" Target="/xl/worksheets/sheet2.xml" Id="R9a6cffc6328d4f65" /></Relationships>
</file>

<file path=xl/tables/table1.xml><?xml version="1.0" encoding="utf-8"?>
<x:table xmlns:x="http://schemas.openxmlformats.org/spreadsheetml/2006/main" id="1" name="TikTokAccounts" displayName="TikTokAccounts" ref="A1:I5" headerRowCount="1" totalsRowCount="0" totalsRowShown="0">
  <x:tableColumns count="9">
    <x:tableColumn id="1" name="account_url"/>
    <x:tableColumn id="2" name="username"/>
    <x:tableColumn id="3" name="nickname"/>
    <x:tableColumn id="4" name="followers"/>
    <x:tableColumn id="5" name="following"/>
    <x:tableColumn id="6" name="total_likes"/>
    <x:tableColumn id="7" name="total_posts"/>
    <x:tableColumn id="8" name="bio"/>
    <x:tableColumn id="9" name="captur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kTokPosts" displayName="TikTokPosts" ref="A1:L21" headerRowCount="1" totalsRowCount="0" totalsRowShown="0">
  <x:tableColumns count="12">
    <x:tableColumn id="1" name="username"/>
    <x:tableColumn id="2" name="post_id"/>
    <x:tableColumn id="3" name="post_url"/>
    <x:tableColumn id="4" name="content_type"/>
    <x:tableColumn id="5" name="published_at"/>
    <x:tableColumn id="6" name="caption"/>
    <x:tableColumn id="7" name="views"/>
    <x:tableColumn id="8" name="likes"/>
    <x:tableColumn id="9" name="comments"/>
    <x:tableColumn id="10" name="favorites"/>
    <x:tableColumn id="11" name="shares"/>
    <x:tableColumn id="12" name="captur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b57665feba4c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025b49b19749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6" hidden="0" customWidth="1"/>
    <x:col min="9" max="9" width="22" hidden="0" customWidth="1"/>
  </x:cols>
  <x:sheetData>
    <x:row r="1" ht="26.399999618530273" hidden="0" customHeight="1">
      <x:c r="A1" s="9" t="str">
        <x:v>account_url</x:v>
      </x:c>
      <x:c r="B1" s="10" t="str">
        <x:v>username</x:v>
      </x:c>
      <x:c r="C1" s="10" t="str">
        <x:v>nickname</x:v>
      </x:c>
      <x:c r="D1" s="10" t="str">
        <x:v>followers</x:v>
      </x:c>
      <x:c r="E1" s="10" t="str">
        <x:v>following</x:v>
      </x:c>
      <x:c r="F1" s="10" t="str">
        <x:v>total_likes</x:v>
      </x:c>
      <x:c r="G1" s="10" t="str">
        <x:v>total_posts</x:v>
      </x:c>
      <x:c r="H1" s="10" t="str">
        <x:v>bio</x:v>
      </x:c>
      <x:c r="I1" s="11" t="str">
        <x:v>captured_at</x:v>
      </x:c>
    </x:row>
    <x:row r="2" ht="39.599998474121094" hidden="0" customHeight="1">
      <x:c r="A2" t="str">
        <x:v>https://www.tiktok.com/@astrologywiki</x:v>
      </x:c>
      <x:c r="B2" t="str">
        <x:v>astrologywiki</x:v>
      </x:c>
      <x:c r="C2" t="str">
        <x:v>Astrology Wiki</x:v>
      </x:c>
      <x:c r="D2" s="12" t="n">
        <x:v>3</x:v>
      </x:c>
      <x:c r="E2" s="12" t="n">
        <x:v>1</x:v>
      </x:c>
      <x:c r="F2" s="12" t="n">
        <x:v>117</x:v>
      </x:c>
      <x:c r="G2" s="12" t="n">
        <x:v>10</x:v>
      </x:c>
      <x:c r="H2" s="14" t="str">
        <x:v>♈️ Free Birth Chart!
astrologywiki.com
ask me for free astrology readings</x:v>
      </x:c>
      <x:c r="I2" s="13" t="n">
        <x:v>46223.28400516204</x:v>
      </x:c>
    </x:row>
    <x:row r="3" ht="15" hidden="0" customHeight="1">
      <x:c r="A3" t="str">
        <x:v>https://www.tiktok.com/@shirley527146</x:v>
      </x:c>
      <x:c r="B3" t="str">
        <x:v>shirley527146</x:v>
      </x:c>
      <x:c r="C3" t="str">
        <x:v>Shirley777</x:v>
      </x:c>
      <x:c r="D3" s="12" t="n">
        <x:v>0</x:v>
      </x:c>
      <x:c r="E3" s="12" t="n">
        <x:v>1</x:v>
      </x:c>
      <x:c r="F3" s="12" t="n">
        <x:v>4</x:v>
      </x:c>
      <x:c r="G3" s="12" t="n">
        <x:v>2</x:v>
      </x:c>
      <x:c r="H3" s="14" t="str"/>
      <x:c r="I3" s="13" t="n">
        <x:v>46223.28400516204</x:v>
      </x:c>
    </x:row>
    <x:row r="4" ht="39.599998474121094" hidden="0" customHeight="1">
      <x:c r="A4" t="str">
        <x:v>https://www.tiktok.com/@miraaastrology</x:v>
      </x:c>
      <x:c r="B4" t="str">
        <x:v>miraaastrology</x:v>
      </x:c>
      <x:c r="C4" t="str">
        <x:v>miraaastrology</x:v>
      </x:c>
      <x:c r="D4" s="12" t="n">
        <x:v>8</x:v>
      </x:c>
      <x:c r="E4" s="12" t="n">
        <x:v>0</x:v>
      </x:c>
      <x:c r="F4" s="12" t="n">
        <x:v>76</x:v>
      </x:c>
      <x:c r="G4" s="12" t="n">
        <x:v>1</x:v>
      </x:c>
      <x:c r="H4" s="14" t="str">
        <x:v>Love astrology 
New  in TikTok
Send me your birthday 💕</x:v>
      </x:c>
      <x:c r="I4" s="13" t="n">
        <x:v>46223.28400516204</x:v>
      </x:c>
    </x:row>
    <x:row r="5" ht="15" hidden="0" customHeight="1">
      <x:c r="A5" t="str">
        <x:v>https://www.tiktok.com/@filestarsx</x:v>
      </x:c>
      <x:c r="B5" t="str">
        <x:v>filestarsx</x:v>
      </x:c>
      <x:c r="C5" t="str">
        <x:v>Filestarsx</x:v>
      </x:c>
      <x:c r="D5" s="12" t="n">
        <x:v>1</x:v>
      </x:c>
      <x:c r="E5" s="12" t="n">
        <x:v>0</x:v>
      </x:c>
      <x:c r="F5" s="12" t="n">
        <x:v>45</x:v>
      </x:c>
      <x:c r="G5" s="12" t="n">
        <x:v>3</x:v>
      </x:c>
      <x:c r="H5" s="14" t="str"/>
      <x:c r="I5" s="13" t="n">
        <x:v>46223.28400516204</x:v>
      </x:c>
    </x:row>
  </x:sheetData>
  <x:pageMargins left="0.7" right="0.7" top="0.75" bottom="0.75" header="0.3" footer="0.3"/>
  <x:tableParts count="1">
    <x:tablePart xmlns:r="http://schemas.openxmlformats.org/officeDocument/2006/relationships" r:id="Rf1b57665feba4c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6" hidden="0" customWidth="1"/>
    <x:col min="4" max="4" width="14" hidden="0" customWidth="1"/>
    <x:col min="5" max="5" width="20" hidden="0" customWidth="1"/>
    <x:col min="6" max="6" width="7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2" hidden="0" customWidth="1"/>
  </x:cols>
  <x:sheetData>
    <x:row r="1" ht="26.399999618530273" hidden="0" customHeight="1">
      <x:c r="A1" s="9" t="str">
        <x:v>username</x:v>
      </x:c>
      <x:c r="B1" s="10" t="str">
        <x:v>post_id</x:v>
      </x:c>
      <x:c r="C1" s="10" t="str">
        <x:v>post_url</x:v>
      </x:c>
      <x:c r="D1" s="10" t="str">
        <x:v>content_type</x:v>
      </x:c>
      <x:c r="E1" s="10" t="str">
        <x:v>published_at</x:v>
      </x:c>
      <x:c r="F1" s="10" t="str">
        <x:v>caption</x:v>
      </x:c>
      <x:c r="G1" s="10" t="str">
        <x:v>views</x:v>
      </x:c>
      <x:c r="H1" s="10" t="str">
        <x:v>likes</x:v>
      </x:c>
      <x:c r="I1" s="10" t="str">
        <x:v>comments</x:v>
      </x:c>
      <x:c r="J1" s="10" t="str">
        <x:v>favorites</x:v>
      </x:c>
      <x:c r="K1" s="10" t="str">
        <x:v>shares</x:v>
      </x:c>
      <x:c r="L1" s="11" t="str">
        <x:v>captured_at</x:v>
      </x:c>
    </x:row>
    <x:row r="2" ht="54" hidden="0" customHeight="1">
      <x:c r="A2" t="str">
        <x:v>astrologywiki</x:v>
      </x:c>
      <x:c r="B2" s="15" t="str">
        <x:f>"7663445797949721869"</x:f>
        <x:v>7663445797949721869</x:v>
      </x:c>
      <x:c r="C2" t="str">
        <x:v>https://www.tiktok.com/@astrologywiki/video/7663445797949721869</x:v>
      </x:c>
      <x:c r="D2" t="str">
        <x:v>video</x:v>
      </x:c>
      <x:c r="E2" s="13" t="n">
        <x:v>46221.541666666664</x:v>
      </x:c>
      <x:c r="F2" s="14" t="str">
        <x:v>July 19th. Jupiter, Pluto, Uranus, Neptune — all at 4 degrees. This hasn't happened in decades. #astrology #astrologytiktok #alignment</x:v>
      </x:c>
      <x:c r="G2" s="12" t="n">
        <x:v>582</x:v>
      </x:c>
      <x:c r="H2" s="12" t="n">
        <x:v>21</x:v>
      </x:c>
      <x:c r="I2" s="12" t="n">
        <x:v>1</x:v>
      </x:c>
      <x:c r="J2" s="12" t="n">
        <x:v>8</x:v>
      </x:c>
      <x:c r="K2" s="12" t="n">
        <x:v>1</x:v>
      </x:c>
      <x:c r="L2" s="13" t="n">
        <x:v>46223.28400516204</x:v>
      </x:c>
    </x:row>
    <x:row r="3" ht="54" hidden="0" customHeight="1">
      <x:c r="A3" t="str">
        <x:v>astrologywiki</x:v>
      </x:c>
      <x:c r="B3" s="15" t="str">
        <x:f>"7663039564482710798"</x:f>
        <x:v>7663039564482710798</x:v>
      </x:c>
      <x:c r="C3" t="str">
        <x:v>https://www.tiktok.com/@astrologywiki/video/7663039564482710798</x:v>
      </x:c>
      <x:c r="D3" t="str">
        <x:v>video</x:v>
      </x:c>
      <x:c r="E3" s="13" t="n">
        <x:v>46219.614583333336</x:v>
      </x:c>
      <x:c r="F3" s="14" t="str">
        <x:v>Cancer, Libra, Aquarius Moon — did we get you? 🌙 Comment your Moon sign below. Full Moon report in bio. #moonsign #cancer #libra #aquarius #astrology</x:v>
      </x:c>
      <x:c r="G3" s="12" t="n">
        <x:v>322</x:v>
      </x:c>
      <x:c r="H3" s="12" t="n">
        <x:v>5</x:v>
      </x:c>
      <x:c r="I3" s="12" t="n">
        <x:v>1</x:v>
      </x:c>
      <x:c r="J3" s="12" t="n">
        <x:v>0</x:v>
      </x:c>
      <x:c r="K3" s="12" t="n">
        <x:v>0</x:v>
      </x:c>
      <x:c r="L3" s="13" t="n">
        <x:v>46223.28400516204</x:v>
      </x:c>
    </x:row>
    <x:row r="4" ht="54" hidden="0" customHeight="1">
      <x:c r="A4" t="str">
        <x:v>astrologywiki</x:v>
      </x:c>
      <x:c r="B4" s="15" t="str">
        <x:f>"7662283840634866957"</x:f>
        <x:v>7662283840634866957</x:v>
      </x:c>
      <x:c r="C4" t="str">
        <x:v>https://www.tiktok.com/@astrologywiki/video/7662283840634866957</x:v>
      </x:c>
      <x:c r="D4" t="str">
        <x:v>video</x:v>
      </x:c>
      <x:c r="E4" s="13" t="n">
        <x:v>46217.65972222222</x:v>
      </x:c>
      <x:c r="F4" s="14" t="str">
        <x:v>Earth Moon signs, did we get you? 🪨 Comment your Moon sign below. Full Moon report 👉 astrologywiki.com/q1antwecmyhpax  #astrotok #moonsigns #zodiac #earthsigns</x:v>
      </x:c>
      <x:c r="G4" s="12" t="n">
        <x:v>145</x:v>
      </x:c>
      <x:c r="H4" s="12" t="n">
        <x:v>1</x:v>
      </x:c>
      <x:c r="I4" s="12" t="n">
        <x:v>0</x:v>
      </x:c>
      <x:c r="J4" s="12" t="n">
        <x:v>0</x:v>
      </x:c>
      <x:c r="K4" s="12" t="n">
        <x:v>0</x:v>
      </x:c>
      <x:c r="L4" s="13" t="n">
        <x:v>46223.28400516204</x:v>
      </x:c>
    </x:row>
    <x:row r="5" ht="54" hidden="0" customHeight="1">
      <x:c r="A5" t="str">
        <x:v>astrologywiki</x:v>
      </x:c>
      <x:c r="B5" s="15" t="str">
        <x:f>"7661912847693188365"</x:f>
        <x:v>7661912847693188365</x:v>
      </x:c>
      <x:c r="C5" t="str">
        <x:v>https://www.tiktok.com/@astrologywiki/video/7661912847693188365</x:v>
      </x:c>
      <x:c r="D5" t="str">
        <x:v>video</x:v>
      </x:c>
      <x:c r="E5" s="13" t="n">
        <x:v>46216.645833333336</x:v>
      </x:c>
      <x:c r="F5" s="14" t="str">
        <x:v>July 14, 2026 · Cancer New Moon  What no longer feels like home?  Check where Cancer lands in your birth chart. astrologywiki.com/q1antwecmyhpax #astrology #astrologytiktok #cancer #cancermoon</x:v>
      </x:c>
      <x:c r="G5" s="12" t="n">
        <x:v>973</x:v>
      </x:c>
      <x:c r="H5" s="12" t="n">
        <x:v>15</x:v>
      </x:c>
      <x:c r="I5" s="12" t="n">
        <x:v>0</x:v>
      </x:c>
      <x:c r="J5" s="12" t="n">
        <x:v>0</x:v>
      </x:c>
      <x:c r="K5" s="12" t="n">
        <x:v>0</x:v>
      </x:c>
      <x:c r="L5" s="13" t="n">
        <x:v>46223.28400516204</x:v>
      </x:c>
    </x:row>
    <x:row r="6" ht="54" hidden="0" customHeight="1">
      <x:c r="A6" t="str">
        <x:v>astrologywiki</x:v>
      </x:c>
      <x:c r="B6" s="15" t="str">
        <x:f>"7660826807507094798"</x:f>
        <x:v>7660826807507094798</x:v>
      </x:c>
      <x:c r="C6" t="str">
        <x:v>https://www.tiktok.com/@astrologywiki/video/7660826807507094798</x:v>
      </x:c>
      <x:c r="D6" t="str">
        <x:v>video</x:v>
      </x:c>
      <x:c r="E6" s="13" t="n">
        <x:v>46213.708333333336</x:v>
      </x:c>
      <x:c r="F6" s="14" t="str">
        <x:v>Fire Moon signs, did we get you? 🔥 Comment your Moon sign below. Full Moon report in astrologywiki.com/q138hqh74fc6f7 #moonsign #astrology #astrologytiktok #birthchart #leo #aries #sagittarius</x:v>
      </x:c>
      <x:c r="G6" s="12" t="n">
        <x:v>159</x:v>
      </x:c>
      <x:c r="H6" s="12" t="n">
        <x:v>8</x:v>
      </x:c>
      <x:c r="I6" s="12" t="n">
        <x:v>0</x:v>
      </x:c>
      <x:c r="J6" s="12" t="n">
        <x:v>1</x:v>
      </x:c>
      <x:c r="K6" s="12" t="n">
        <x:v>0</x:v>
      </x:c>
      <x:c r="L6" s="13" t="n">
        <x:v>46223.28400516204</x:v>
      </x:c>
    </x:row>
    <x:row r="7" ht="54" hidden="0" customHeight="1">
      <x:c r="A7" t="str">
        <x:v>astrologywiki</x:v>
      </x:c>
      <x:c r="B7" s="15" t="str">
        <x:f>"7660473423038041358"</x:f>
        <x:v>7660473423038041358</x:v>
      </x:c>
      <x:c r="C7" t="str">
        <x:v>https://www.tiktok.com/@astrologywiki/video/7660473423038041358</x:v>
      </x:c>
      <x:c r="D7" t="str">
        <x:v>video</x:v>
      </x:c>
      <x:c r="E7" s="13" t="n">
        <x:v>46212.65625</x:v>
      </x:c>
      <x:c r="F7" s="14" t="str">
        <x:v>Your toxic trait according to your Moon sign 🔗Get full Moon sign report: www.astrology.com #moonsign #astrology #astrologytiktok #scorpio #gemini #pisces #birthchart #shadowwork</x:v>
      </x:c>
      <x:c r="G7" s="12" t="n">
        <x:v>308</x:v>
      </x:c>
      <x:c r="H7" s="12" t="n">
        <x:v>6</x:v>
      </x:c>
      <x:c r="I7" s="12" t="n">
        <x:v>1</x:v>
      </x:c>
      <x:c r="J7" s="12" t="n">
        <x:v>1</x:v>
      </x:c>
      <x:c r="K7" s="12" t="n">
        <x:v>0</x:v>
      </x:c>
      <x:c r="L7" s="13" t="n">
        <x:v>46223.28400516204</x:v>
      </x:c>
    </x:row>
    <x:row r="8" ht="54" hidden="0" customHeight="1">
      <x:c r="A8" t="str">
        <x:v>astrologywiki</x:v>
      </x:c>
      <x:c r="B8" s="15" t="str">
        <x:f>"7660401338701974798"</x:f>
        <x:v>7660401338701974798</x:v>
      </x:c>
      <x:c r="C8" t="str">
        <x:v>https://www.tiktok.com/@astrologywiki/video/7660401338701974798</x:v>
      </x:c>
      <x:c r="D8" t="str">
        <x:v>video</x:v>
      </x:c>
      <x:c r="E8" s="13" t="n">
        <x:v>46212.24318287037</x:v>
      </x:c>
      <x:c r="F8" s="14" t="str">
        <x:v>Venus in Virgo is receipt season. Pay attention to the patterns: who follows through, where your energy goes, and what your daily habits are quietly revealing. #VenusInVirgo #VenusEntersVirgo #Astrology #AstrologyTikTok#VenusTransit #AstrologyWiki #venus #virgo</x:v>
      </x:c>
      <x:c r="G8" s="12" t="n">
        <x:v>350</x:v>
      </x:c>
      <x:c r="H8" s="12" t="n">
        <x:v>19</x:v>
      </x:c>
      <x:c r="I8" s="12" t="n">
        <x:v>1</x:v>
      </x:c>
      <x:c r="J8" s="12" t="n">
        <x:v>4</x:v>
      </x:c>
      <x:c r="K8" s="12" t="n">
        <x:v>0</x:v>
      </x:c>
      <x:c r="L8" s="13" t="n">
        <x:v>46223.28400516204</x:v>
      </x:c>
    </x:row>
    <x:row r="9" ht="54" hidden="0" customHeight="1">
      <x:c r="A9" t="str">
        <x:v>astrologywiki</x:v>
      </x:c>
      <x:c r="B9" s="15" t="str">
        <x:f>"7659748708950609165"</x:f>
        <x:v>7659748708950609165</x:v>
      </x:c>
      <x:c r="C9" t="str">
        <x:v>https://www.tiktok.com/@astrologywiki/video/7659748708950609165</x:v>
      </x:c>
      <x:c r="D9" t="str">
        <x:v>video</x:v>
      </x:c>
      <x:c r="E9" s="13" t="n">
        <x:v>46210.74652777778</x:v>
      </x:c>
      <x:c r="F9" s="14" t="str">
        <x:v>Haaland and Isabel's synastry💗 Try your own relationship chart on AstrologyWiki:⬇️ astrologywiki.com/q13bmvn1154fvl #birthchart #zodiacsign #astrology #Cancer #worldcup #haaland</x:v>
      </x:c>
      <x:c r="G9" s="12" t="n">
        <x:v>453</x:v>
      </x:c>
      <x:c r="H9" s="12" t="n">
        <x:v>3</x:v>
      </x:c>
      <x:c r="I9" s="12" t="n">
        <x:v>0</x:v>
      </x:c>
      <x:c r="J9" s="12" t="n">
        <x:v>0</x:v>
      </x:c>
      <x:c r="K9" s="12" t="n">
        <x:v>1</x:v>
      </x:c>
      <x:c r="L9" s="13" t="n">
        <x:v>46223.28400516204</x:v>
      </x:c>
    </x:row>
    <x:row r="10" ht="54" hidden="0" customHeight="1">
      <x:c r="A10" t="str">
        <x:v>astrologywiki</x:v>
      </x:c>
      <x:c r="B10" s="15" t="str">
        <x:f>"7659773834345647374"</x:f>
        <x:v>7659773834345647374</x:v>
      </x:c>
      <x:c r="C10" t="str">
        <x:v>https://www.tiktok.com/@astrologywiki/video/7659773834345647374</x:v>
      </x:c>
      <x:c r="D10" t="str">
        <x:v>video</x:v>
      </x:c>
      <x:c r="E10" s="13" t="n">
        <x:v>46210.55233796296</x:v>
      </x:c>
      <x:c r="F10" s="14" t="str">
        <x:v>Rhaenyra's conflict in House of the Dragon is about power, recognition, inheritance, and public authority. Astrology angle: 10th house pressure + 8th house power. Read the character astrology breakdown on AstrologyWiki: astrologywiki.com/q11sgleuym1xt7 #HouseOfTheDragon #RhaenyraTargaryen #Astrology #CharacterAstrology #AstrologyWiki</x:v>
      </x:c>
      <x:c r="G10" s="12" t="n">
        <x:v>361</x:v>
      </x:c>
      <x:c r="H10" s="12" t="n">
        <x:v>14</x:v>
      </x:c>
      <x:c r="I10" s="12" t="n">
        <x:v>0</x:v>
      </x:c>
      <x:c r="J10" s="12" t="n">
        <x:v>0</x:v>
      </x:c>
      <x:c r="K10" s="12" t="n">
        <x:v>0</x:v>
      </x:c>
      <x:c r="L10" s="13" t="n">
        <x:v>46223.28400516204</x:v>
      </x:c>
    </x:row>
    <x:row r="11" ht="54" hidden="0" customHeight="1">
      <x:c r="A11" t="str">
        <x:v>astrologywiki</x:v>
      </x:c>
      <x:c r="B11" s="15" t="str">
        <x:f>"7657074482648993037"</x:f>
        <x:v>7657074482648993037</x:v>
      </x:c>
      <x:c r="C11" t="str">
        <x:v>https://www.tiktok.com/@astrologywiki/video/7657074482648993037</x:v>
      </x:c>
      <x:c r="D11" t="str">
        <x:v>video</x:v>
      </x:c>
      <x:c r="E11" s="13" t="n">
        <x:v>46203.27768518519</x:v>
      </x:c>
      <x:c r="F11" s="14" t="str">
        <x:v>Read the full birth chart overview: https://www.astrologywiki.com/en/wiki/erling-haaland-birth-chart</x:v>
      </x:c>
      <x:c r="G11" s="12" t="n">
        <x:v>801</x:v>
      </x:c>
      <x:c r="H11" s="12" t="n">
        <x:v>10</x:v>
      </x:c>
      <x:c r="I11" s="12" t="n">
        <x:v>0</x:v>
      </x:c>
      <x:c r="J11" s="12" t="n">
        <x:v>0</x:v>
      </x:c>
      <x:c r="K11" s="12" t="n">
        <x:v>1</x:v>
      </x:c>
      <x:c r="L11" s="13" t="n">
        <x:v>46223.28400516204</x:v>
      </x:c>
    </x:row>
    <x:row r="12" ht="54" hidden="0" customHeight="1">
      <x:c r="A12" t="str">
        <x:v>filestarsx</x:v>
      </x:c>
      <x:c r="B12" s="15" t="str">
        <x:f>"7664487396867656991"</x:f>
        <x:v>7664487396867656991</x:v>
      </x:c>
      <x:c r="C12" t="str">
        <x:v>https://www.tiktok.com/@filestarsx/video/7664487396867656991</x:v>
      </x:c>
      <x:c r="D12" t="str">
        <x:v>video</x:v>
      </x:c>
      <x:c r="E12" s="13" t="n">
        <x:v>46223.25424768519</x:v>
      </x:c>
      <x:c r="F12" s="14" t="str">
        <x:v>what a great win🥳  Good night everyone  Hope that I can fall asleep tonight #worldcup #spain </x:v>
      </x:c>
      <x:c r="G12" s="12" t="n">
        <x:v>37</x:v>
      </x:c>
      <x:c r="H12" s="12" t="n">
        <x:v>1</x:v>
      </x:c>
      <x:c r="I12" s="12" t="n">
        <x:v>0</x:v>
      </x:c>
      <x:c r="J12" s="12" t="n">
        <x:v>0</x:v>
      </x:c>
      <x:c r="K12" s="12" t="n">
        <x:v>0</x:v>
      </x:c>
      <x:c r="L12" s="13" t="n">
        <x:v>46223.28400516204</x:v>
      </x:c>
    </x:row>
    <x:row r="13" ht="54" hidden="0" customHeight="1">
      <x:c r="A13" t="str">
        <x:v>filestarsx</x:v>
      </x:c>
      <x:c r="B13" s="15" t="str">
        <x:f>"7663333677438438686"</x:f>
        <x:v>7663333677438438686</x:v>
      </x:c>
      <x:c r="C13" t="str">
        <x:v>https://www.tiktok.com/@filestarsx/photo/7663333677438438686</x:v>
      </x:c>
      <x:c r="D13" t="str">
        <x:v>photo</x:v>
      </x:c>
      <x:c r="E13" s="13" t="n">
        <x:v>46220.14494212963</x:v>
      </x:c>
      <x:c r="F13" s="14" t="str">
        <x:v>Astrology reading Two ♋️ sun #worldcup #messi #yamal #worldcup #astrology </x:v>
      </x:c>
      <x:c r="G13" s="12" t="n">
        <x:v>396</x:v>
      </x:c>
      <x:c r="H13" s="12" t="n">
        <x:v>13</x:v>
      </x:c>
      <x:c r="I13" s="12" t="n">
        <x:v>0</x:v>
      </x:c>
      <x:c r="J13" s="12" t="n">
        <x:v>1</x:v>
      </x:c>
      <x:c r="K13" s="12" t="n">
        <x:v>0</x:v>
      </x:c>
      <x:c r="L13" s="13" t="n">
        <x:v>46223.28400516204</x:v>
      </x:c>
    </x:row>
    <x:row r="14" ht="54" hidden="0" customHeight="1">
      <x:c r="A14" t="str">
        <x:v>filestarsx</x:v>
      </x:c>
      <x:c r="B14" s="15" t="str">
        <x:f>"7662341959507332383"</x:f>
        <x:v>7662341959507332383</x:v>
      </x:c>
      <x:c r="C14" t="str">
        <x:v>https://www.tiktok.com/@filestarsx/photo/7662341959507332383</x:v>
      </x:c>
      <x:c r="D14" t="str">
        <x:v>photo</x:v>
      </x:c>
      <x:c r="E14" s="13" t="n">
        <x:v>46217.47293981481</x:v>
      </x:c>
      <x:c r="F14" s="14" t="str">
        <x:v>Lamont Yamal turned 19 yesterday and plays worldcup semi today - in his own Cancer season Which team do you pick? #worldcup #france #spain #astrology #birthchart </x:v>
      </x:c>
      <x:c r="G14" s="12" t="n">
        <x:v>1902</x:v>
      </x:c>
      <x:c r="H14" s="12" t="n">
        <x:v>32</x:v>
      </x:c>
      <x:c r="I14" s="12" t="n">
        <x:v>1</x:v>
      </x:c>
      <x:c r="J14" s="12" t="n">
        <x:v>5</x:v>
      </x:c>
      <x:c r="K14" s="12" t="n">
        <x:v>1</x:v>
      </x:c>
      <x:c r="L14" s="13" t="n">
        <x:v>46223.28400516204</x:v>
      </x:c>
    </x:row>
    <x:row r="15" ht="54" hidden="0" customHeight="1">
      <x:c r="A15" t="str">
        <x:v>miraaastrology</x:v>
      </x:c>
      <x:c r="B15" s="15" t="str">
        <x:f>"7663472486893374734"</x:f>
        <x:v>7663472486893374734</x:v>
      </x:c>
      <x:c r="C15" t="str">
        <x:v>https://www.tiktok.com/@miraaastrology/video/7663472486893374734</x:v>
      </x:c>
      <x:c r="D15" t="str">
        <x:v>video</x:v>
      </x:c>
      <x:c r="E15" s="13" t="n">
        <x:v>46220.70694444444</x:v>
      </x:c>
      <x:c r="F15" s="14" t="str">
        <x:v>Scorpio doesn’t trust you until they’ve tested you #scorpio #zodiacsigns #astrology </x:v>
      </x:c>
      <x:c r="G15" s="12" t="n">
        <x:v>334</x:v>
      </x:c>
      <x:c r="H15" s="12" t="n">
        <x:v>38</x:v>
      </x:c>
      <x:c r="I15" s="12" t="n">
        <x:v>2</x:v>
      </x:c>
      <x:c r="J15" s="12" t="n">
        <x:v>7</x:v>
      </x:c>
      <x:c r="K15" s="12" t="n">
        <x:v>3</x:v>
      </x:c>
      <x:c r="L15" s="13" t="n">
        <x:v>46223.28400516204</x:v>
      </x:c>
    </x:row>
    <x:row r="16" ht="54" hidden="0" customHeight="1">
      <x:c r="A16" t="str">
        <x:v>miraaastrology</x:v>
      </x:c>
      <x:c r="B16" s="15" t="str">
        <x:f>"7663410404512566542"</x:f>
        <x:v>7663410404512566542</x:v>
      </x:c>
      <x:c r="C16" t="str">
        <x:v>https://www.tiktok.com/@miraaastrology/video/7663410404512566542</x:v>
      </x:c>
      <x:c r="D16" t="str">
        <x:v>video</x:v>
      </x:c>
      <x:c r="E16" s="13" t="n">
        <x:v>46220.62222222222</x:v>
      </x:c>
      <x:c r="F16" s="14" t="str">
        <x:v>The biggest problem with Scorpio is they’ll leave before you get the chance to. but it’s not what you think #scorpio #astrology #zodiacsigns </x:v>
      </x:c>
      <x:c r="G16" s="12" t="n">
        <x:v>256</x:v>
      </x:c>
      <x:c r="H16" s="12" t="n">
        <x:v>14</x:v>
      </x:c>
      <x:c r="I16" s="12" t="n">
        <x:v>5</x:v>
      </x:c>
      <x:c r="J16" s="12" t="n">
        <x:v>1</x:v>
      </x:c>
      <x:c r="K16" s="12" t="n">
        <x:v>0</x:v>
      </x:c>
      <x:c r="L16" s="13" t="n">
        <x:v>46223.28400516204</x:v>
      </x:c>
    </x:row>
    <x:row r="17" ht="54" hidden="0" customHeight="1">
      <x:c r="A17" t="str">
        <x:v>miraaastrology</x:v>
      </x:c>
      <x:c r="B17" s="15" t="str">
        <x:f>"7662239701184597261"</x:f>
        <x:v>7662239701184597261</x:v>
      </x:c>
      <x:c r="C17" t="str">
        <x:v>https://www.tiktok.com/@miraaastrology/video/7662239701184597261</x:v>
      </x:c>
      <x:c r="D17" t="str">
        <x:v>video</x:v>
      </x:c>
      <x:c r="E17" s="13" t="n">
        <x:v>46217.19708333333</x:v>
      </x:c>
      <x:c r="F17" s="14" t="str">
        <x:v>Dreaming about your ex this week? Blame Mercury retrograde at 21° Cancer 🌙 Find where it hits YOUR chart  #mercuryretrograde #ex #astrology  #cancer  #creatorsearchinsights </x:v>
      </x:c>
      <x:c r="G17" s="12" t="n">
        <x:v>386</x:v>
      </x:c>
      <x:c r="H17" s="12" t="n">
        <x:v>24</x:v>
      </x:c>
      <x:c r="I17" s="12" t="n">
        <x:v>0</x:v>
      </x:c>
      <x:c r="J17" s="12" t="n">
        <x:v>1</x:v>
      </x:c>
      <x:c r="K17" s="12" t="n">
        <x:v>0</x:v>
      </x:c>
      <x:c r="L17" s="13" t="n">
        <x:v>46223.28400516204</x:v>
      </x:c>
    </x:row>
    <x:row r="18" ht="54" hidden="0" customHeight="1">
      <x:c r="A18" t="str">
        <x:v>shirley527146</x:v>
      </x:c>
      <x:c r="B18" s="15" t="str">
        <x:f>"7663456266794142990"</x:f>
        <x:v>7663456266794142990</x:v>
      </x:c>
      <x:c r="C18" t="str">
        <x:v>https://www.tiktok.com/@shirley527146/video/7663456266794142990</x:v>
      </x:c>
      <x:c r="D18" t="str">
        <x:v>video</x:v>
      </x:c>
      <x:c r="E18" s="13" t="n">
        <x:v>46220.47609953704</x:v>
      </x:c>
      <x:c r="F18" s="14" t="str">
        <x:v>Checking my transit before the day starts #transit #astrology 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3" t="n">
        <x:v>46223.28400516204</x:v>
      </x:c>
    </x:row>
    <x:row r="19" ht="54" hidden="0" customHeight="1">
      <x:c r="A19" t="str">
        <x:v>shirley527146</x:v>
      </x:c>
      <x:c r="B19" s="15" t="str">
        <x:f>"7662650075671317774"</x:f>
        <x:v>7662650075671317774</x:v>
      </x:c>
      <x:c r="C19" t="str">
        <x:v>https://www.tiktok.com/@shirley527146/video/7662650075671317774</x:v>
      </x:c>
      <x:c r="D19" t="str">
        <x:v>video</x:v>
      </x:c>
      <x:c r="E19" s="13" t="n">
        <x:v>46218.61388888889</x:v>
      </x:c>
      <x:c r="F19" s="14" t="str">
        <x:v>Literally me right now #astrology #birthchart #astrologywiki </x:v>
      </x:c>
      <x:c r="G19" s="12" t="n">
        <x:v>184</x:v>
      </x:c>
      <x:c r="H19" s="12" t="n">
        <x:v>3</x:v>
      </x:c>
      <x:c r="I19" s="12" t="n">
        <x:v>0</x:v>
      </x:c>
      <x:c r="J19" s="12" t="n">
        <x:v>0</x:v>
      </x:c>
      <x:c r="K19" s="12" t="n">
        <x:v>0</x:v>
      </x:c>
      <x:c r="L19" s="13" t="n">
        <x:v>46223.28400516204</x:v>
      </x:c>
    </x:row>
    <x:row r="20" ht="54" hidden="0" customHeight="1">
      <x:c r="A20" t="str">
        <x:v>shirley527146</x:v>
      </x:c>
      <x:c r="B20" s="15" t="str">
        <x:f>"7662319263247568141"</x:f>
        <x:v>7662319263247568141</x:v>
      </x:c>
      <x:c r="C20" t="str">
        <x:v>https://www.tiktok.com/@shirley527146/video/7662319263247568141</x:v>
      </x:c>
      <x:c r="D20" t="str">
        <x:v>video</x:v>
      </x:c>
      <x:c r="E20" s="13" t="n">
        <x:v>46217.68680555555</x:v>
      </x:c>
      <x:c r="F20" s="14" t="str">
        <x:v>Found astrologywiki does synastry charts and test me and my bf #astrology #synastry #couplecheck #birthchart </x:v>
      </x:c>
      <x:c r="G20" s="12" t="n">
        <x:v>161</x:v>
      </x:c>
      <x:c r="H20" s="12" t="n">
        <x:v>1</x:v>
      </x:c>
      <x:c r="I20" s="12" t="n">
        <x:v>0</x:v>
      </x:c>
      <x:c r="J20" s="12" t="n">
        <x:v>0</x:v>
      </x:c>
      <x:c r="K20" s="12" t="n">
        <x:v>0</x:v>
      </x:c>
      <x:c r="L20" s="13" t="n">
        <x:v>46223.28400516204</x:v>
      </x:c>
    </x:row>
    <x:row r="21" ht="54" hidden="0" customHeight="1">
      <x:c r="A21" t="str">
        <x:v>shirley527146</x:v>
      </x:c>
      <x:c r="B21" s="15" t="str">
        <x:f>"7662213851680738574"</x:f>
        <x:v>7662213851680738574</x:v>
      </x:c>
      <x:c r="C21" t="str">
        <x:v>https://www.tiktok.com/@shirley527146/video/7662213851680738574</x:v>
      </x:c>
      <x:c r="D21" t="str">
        <x:v>video</x:v>
      </x:c>
      <x:c r="E21" s="13" t="n">
        <x:v>46217.12740740741</x:v>
      </x:c>
      <x:c r="F21" s="14" t="str">
        <x:v>When friends ask me for astrology advice #astrology #bigthree #birthchart #astrologyreadings </x:v>
      </x:c>
      <x:c r="G21" s="12" t="n">
        <x:v>135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3" t="n">
        <x:v>46223.28400516204</x:v>
      </x:c>
    </x:row>
  </x:sheetData>
  <x:pageMargins left="0.7" right="0.7" top="0.75" bottom="0.75" header="0.3" footer="0.3"/>
  <x:tableParts count="1">
    <x:tablePart xmlns:r="http://schemas.openxmlformats.org/officeDocument/2006/relationships" r:id="R5c025b49b1974927"/>
  </x:tableParts>
</x:worksheet>
</file>